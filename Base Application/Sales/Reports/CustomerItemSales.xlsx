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emp\"/>
    </mc:Choice>
  </mc:AlternateContent>
  <xr:revisionPtr revIDLastSave="0" documentId="13_ncr:1_{71C99182-E81D-49CD-AD2A-E11BF412A4D6}" xr6:coauthVersionLast="47" xr6:coauthVersionMax="47" xr10:uidLastSave="{00000000-0000-0000-0000-000000000000}"/>
  <bookViews>
    <workbookView xWindow="-120" yWindow="-120" windowWidth="29040" windowHeight="17520" xr2:uid="{00000000-000D-0000-FFFF-FFFF00000000}"/>
  </bookViews>
  <sheets>
    <sheet name="$CustomerItemSalesPrint$" sheetId="6" r:id="rId1"/>
    <sheet name="$CustomerItemSalesAnalysis$" sheetId="8" r:id="rId2"/>
    <sheet name="$AboutTheReportLabel$" sheetId="5" r:id="rId3"/>
    <sheet name="CustomerItemSales_Query" sheetId="7" state="hidden" r:id="rId4"/>
    <sheet name="Customer" sheetId="1" state="hidden" r:id="rId5"/>
    <sheet name="TranslationData" sheetId="2" state="hidden" r:id="rId6"/>
    <sheet name="CaptionData" sheetId="3" state="hidden" r:id="rId7"/>
    <sheet name="Aggregated Metadata" sheetId="4" state="hidden" r:id="rId8"/>
  </sheets>
  <definedNames>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CustFilterHeading">_xlfn.XLOOKUP("CustFilterHeading", ReportRequestPageValues[Request Page Option], ReportRequestPageValues[Request Page Option Value])</definedName>
    <definedName name="DataRetrieved">#REF!</definedName>
    <definedName name="DateFilter" xml:space="preserve"> _xlfn.XLOOKUP("DateFilter",#REF!,#REF!)</definedName>
    <definedName name="DatePeriod">_xlfn.XLOOKUP("PeriodText", ReportRequestPageValues[Request Page Option], ReportRequestPageValues[Request Page Option Value])</definedName>
    <definedName name="DuplicateEndDateFilter" xml:space="preserve"> _xlfn.XLOOKUP("BalanceAsOfDateFilter",#REF!,#REF!)</definedName>
    <definedName name="EndDateFilter" xml:space="preserve"> _xlfn.XLOOKUP("BalanceAsOfDateFilter",#REF!,#REF!)</definedName>
    <definedName name="ExternalData_1" localSheetId="3" hidden="1">'CustomerItemSales_Query'!$A$1:$J$2</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licer_Customer__No__">#N/A</definedName>
    <definedName name="Slicer_Customer_Name">#N/A</definedName>
    <definedName name="Slicer_Item_Description">#N/A</definedName>
    <definedName name="Slicer_ValueEntryBuffer__Item_No__">#N/A</definedName>
    <definedName name="StartDate" xml:space="preserve"> _xlfn.XLOOKUP("StartDate",#REF!,#REF!)</definedName>
    <definedName name="ValueEntryFilterHeading">_xlfn.XLOOKUP("ValueEntryFilterHeading", ReportRequestPageValues[Request Page Option], ReportRequestPageValues[Request Page Option Value])</definedName>
  </definedNames>
  <calcPr calcId="191029"/>
  <pivotCaches>
    <pivotCache cacheId="8"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6" l="1" a="1"/>
  <c r="B8" i="6" s="1"/>
  <c r="B7" i="6" a="1"/>
  <c r="B7" i="6" s="1"/>
  <c r="B4" i="6" a="1"/>
  <c r="B4" i="6" s="1"/>
  <c r="C4" i="6" a="1"/>
  <c r="C4" i="6" s="1"/>
  <c r="J4" i="6" a="1"/>
  <c r="J4" i="6" s="1"/>
  <c r="K4" i="6" a="1"/>
  <c r="K4" i="6" s="1"/>
  <c r="K2" i="6" a="1"/>
  <c r="K2" i="6" s="1"/>
  <c r="B7" i="5"/>
  <c r="B6" i="5" a="1"/>
  <c r="B6" i="5" s="1"/>
  <c r="B5" i="5" a="1"/>
  <c r="B5" i="5" s="1"/>
  <c r="B4" i="5" a="1"/>
  <c r="B4" i="5" s="1"/>
  <c r="B3" i="5" a="1"/>
  <c r="B3" i="5" s="1"/>
  <c r="B2" i="5" a="1"/>
  <c r="B2" i="5" s="1"/>
  <c r="B1" i="5" a="1"/>
  <c r="B1"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8EC6D1-94A9-4CF6-BF51-6FEE296E5149}" keepAlive="1" name="Query - CustomerItemSales_Query" description="Connection to the 'CustomerItemSales_Query' query in the workbook." type="5" refreshedVersion="8" refreshOnLoad="1" saveData="1">
    <dbPr connection="Provider=Microsoft.Mashup.OleDb.1;Data Source=$Workbook$;Location=CustomerItemSales_Query;Extended Properties=&quot;&quot;" command="SELECT * FROM [CustomerItemSales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<sst xmlns="http://schemas.openxmlformats.org/spreadsheetml/2006/main" count="147" uniqueCount="105">
  <si>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</si>
  <si>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</si>
  <si>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</si>
  <si>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</si>
  <si>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</si>
  <si>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</si>
  <si>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</si>
  <si>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</si>
  <si>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</si>
  <si>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</si>
  <si>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</si>
  <si>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</si>
  <si>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</si>
  <si>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</si>
  <si>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</si>
  <si>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</si>
  <si>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</si>
  <si>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</si>
  <si>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</si>
  <si>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</si>
  <si>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</si>
  <si>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</si>
  <si>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</si>
  <si>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</si>
  <si>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</si>
  <si>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</si>
  <si>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</si>
  <si>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</si>
  <si>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</si>
  <si>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</si>
  <si>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</si>
  <si>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</si>
  <si>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</si>
  <si>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</si>
  <si>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</si>
  <si>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</si>
  <si>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</si>
  <si>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</si>
  <si>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</si>
  <si>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</si>
  <si>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</si>
  <si>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</si>
  <si>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</si>
  <si>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</si>
  <si>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</si>
  <si>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</si>
  <si>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</si>
  <si>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</si>
  <si>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</si>
  <si>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</si>
  <si>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</si>
  <si>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</si>
  <si>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</si>
  <si>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</si>
  <si>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</si>
  <si>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</si>
  <si>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</si>
  <si>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</si>
  <si>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</si>
  <si>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</si>
  <si>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</si>
  <si>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</si>
  <si>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</si>
  <si>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</si>
  <si>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STRSUBSTNO_Text000_PeriodText_</t>
  </si>
  <si>
    <t>PrintOnlyOnePerPage</t>
  </si>
  <si>
    <t>Customer_TABLECAPTION__________CustFilter</t>
  </si>
  <si>
    <t>Value_Entry__TABLECAPTION__________ItemLedgEntryFilter</t>
  </si>
  <si>
    <t>Customer__No__</t>
  </si>
  <si>
    <t>Customer_Name</t>
  </si>
  <si>
    <t>Customer__Phone_No__</t>
  </si>
  <si>
    <t>ValueEntryBuffer__Sales_Amount__Actual__</t>
  </si>
  <si>
    <t>ValueEntryBuffer__Discount_Amount_</t>
  </si>
  <si>
    <t>Profit</t>
  </si>
  <si>
    <t>ProfitPct</t>
  </si>
  <si>
    <t>ValueEntryBuffer__Item_No__</t>
  </si>
  <si>
    <t>Item_Description</t>
  </si>
  <si>
    <t>ValueEntryBuffer__Invoiced_Quantity_</t>
  </si>
  <si>
    <t>ValueEntryBuffer__Sales_Amount__Actual___Control44</t>
  </si>
  <si>
    <t>ValueEntryBuffer__Discount_Amount__Control45</t>
  </si>
  <si>
    <t>Profit_Control46</t>
  </si>
  <si>
    <t>ProfitPct_Control47</t>
  </si>
  <si>
    <t>Item__Base_Unit_of_Measure_</t>
  </si>
  <si>
    <t/>
  </si>
  <si>
    <t>False</t>
  </si>
  <si>
    <t>$EnvironmentLabel$</t>
  </si>
  <si>
    <t>$CompanyLabel$</t>
  </si>
  <si>
    <t>$UserLabel$</t>
  </si>
  <si>
    <t>$RunOnLabel$</t>
  </si>
  <si>
    <t>$ReportNameLabel$</t>
  </si>
  <si>
    <t>$DocumentationLabel$</t>
  </si>
  <si>
    <t>$CustomerItemSalesLabel$</t>
  </si>
  <si>
    <t>Grand Total</t>
  </si>
  <si>
    <t>$CustNo$</t>
  </si>
  <si>
    <t>$CustName$</t>
  </si>
  <si>
    <t>$UnitOfMeasure$</t>
  </si>
  <si>
    <t>$InvoicedQuantity$</t>
  </si>
  <si>
    <t>$Amount$</t>
  </si>
  <si>
    <t>$DiscountAmount$</t>
  </si>
  <si>
    <t>$Profit$</t>
  </si>
  <si>
    <t>$ProfitPercent$</t>
  </si>
  <si>
    <t>$ItemNo$</t>
  </si>
  <si>
    <t>$ItemDesc$</t>
  </si>
  <si>
    <t>$AllAmountsInLCY$</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</si>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</sst>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800]dddd\,\ mmmm\ dd\,\ yyyy"/>
    <numFmt numFmtId="165" formatCode="[$-F400]h:mm:ss\ AM/PM"/>
    <numFmt numFmtId="166" formatCode="0.0"/>
  </numFmts>
  <fonts count="13" x14ac:knownFonts="1">
    <font>
      <sz val="11"/>
      <name val="Segoe UI"/>
      <family val="2"/>
      <scheme val="minor"/>
    </font>
    <font>
      <sz val="11"/>
      <color theme="1"/>
      <name val="Segoe UI"/>
      <family val="2"/>
      <scheme val="minor"/>
    </font>
    <font>
      <b/>
      <sz val="11"/>
      <name val="Segoe UI"/>
      <family val="2"/>
      <scheme val="minor"/>
    </font>
    <font>
      <sz val="10"/>
      <color theme="1"/>
      <name val="Segoe UI Semibold"/>
      <family val="2"/>
      <scheme val="major"/>
    </font>
    <font>
      <sz val="10"/>
      <name val="Segoe UI"/>
      <family val="2"/>
      <scheme val="minor"/>
    </font>
    <font>
      <u/>
      <sz val="11"/>
      <color theme="10"/>
      <name val="Segoe UI"/>
      <family val="2"/>
      <scheme val="minor"/>
    </font>
    <font>
      <u/>
      <sz val="10"/>
      <color theme="10"/>
      <name val="Segoe UI"/>
      <family val="2"/>
      <scheme val="minor"/>
    </font>
    <font>
      <b/>
      <sz val="18"/>
      <color rgb="FF212121"/>
      <name val="Segoe UI Semibold"/>
      <family val="2"/>
      <scheme val="major"/>
    </font>
    <font>
      <b/>
      <sz val="13"/>
      <color theme="1"/>
      <name val="Segoe UI"/>
      <family val="2"/>
      <scheme val="minor"/>
    </font>
    <font>
      <b/>
      <sz val="10"/>
      <color theme="1"/>
      <name val="Segoe UI Semibold"/>
      <family val="2"/>
      <scheme val="major"/>
    </font>
    <font>
      <sz val="10"/>
      <color rgb="FF212121"/>
      <name val="Segoe UI"/>
      <family val="2"/>
      <scheme val="minor"/>
    </font>
    <font>
      <sz val="14"/>
      <name val="Segoe UI"/>
      <family val="2"/>
      <scheme val="minor"/>
    </font>
    <font>
      <sz val="10"/>
      <name val="Segoe UI Semibold"/>
      <scheme val="major"/>
    </font>
  </fonts>
  <fills count="3">
    <fill>
      <patternFill patternType="none"/>
    </fill>
    <fill>
      <patternFill patternType="gray125"/>
    </fill>
    <fill>
      <patternFill patternType="solid">
        <fgColor rgb="FFC0C0C0"/>
        <bgColor indexed="64"/>
      </patternFill>
    </fill>
  </fills>
  <borders count="2">
    <border>
      <left/>
      <right/>
      <top/>
      <bottom/>
      <diagonal/>
    </border>
    <border>
      <left/>
      <right/>
      <top/>
      <bottom style="thick">
        <color theme="4" tint="0.499984740745262"/>
      </bottom>
      <diagonal/>
    </border>
  </borders>
  <cellStyleXfs count="4">
    <xf numFmtId="0" fontId="0" fillId="0" borderId="0"/>
    <xf numFmtId="0" fontId="5" fillId="0" borderId="0" applyNumberFormat="0" applyFill="0" applyBorder="0" applyAlignment="0" applyProtection="0"/>
    <xf numFmtId="0" fontId="1" fillId="0" borderId="0"/>
    <xf numFmtId="0" fontId="8" fillId="0" borderId="1" applyNumberFormat="0" applyFill="0" applyAlignment="0" applyProtection="0"/>
  </cellStyleXfs>
  <cellXfs count="23">
    <xf numFmtId="0" fontId="0" fillId="0" borderId="0" xfId="0"/>
    <xf numFmtId="49" fontId="2" fillId="2" borderId="0" xfId="0" applyNumberFormat="1" applyFont="1" applyFill="1"/>
    <xf numFmtId="4" fontId="0" fillId="0" borderId="0" xfId="0" applyNumberFormat="1"/>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5" fontId="4" fillId="0" borderId="0" xfId="0" applyNumberFormat="1" applyFont="1" applyAlignment="1">
      <alignment horizontal="left" vertical="center"/>
    </xf>
    <xf numFmtId="0" fontId="6" fillId="0" borderId="0" xfId="1" applyFont="1" applyAlignment="1">
      <alignment horizontal="left" vertical="center"/>
    </xf>
    <xf numFmtId="0" fontId="7" fillId="0" borderId="0" xfId="2" applyFont="1" applyAlignment="1">
      <alignment vertical="center"/>
    </xf>
    <xf numFmtId="0" fontId="9" fillId="0" borderId="1" xfId="3" applyFont="1" applyAlignment="1">
      <alignment horizontal="right" vertical="center"/>
    </xf>
    <xf numFmtId="0" fontId="10" fillId="0" borderId="0" xfId="0" applyFont="1" applyAlignment="1">
      <alignment horizontal="right" vertical="center"/>
    </xf>
    <xf numFmtId="164" fontId="10" fillId="0" borderId="0" xfId="0" applyNumberFormat="1" applyFont="1" applyAlignment="1">
      <alignment horizontal="right" vertical="center"/>
    </xf>
    <xf numFmtId="0" fontId="0" fillId="0" borderId="0" xfId="0" applyAlignment="1">
      <alignment vertical="center"/>
    </xf>
    <xf numFmtId="0" fontId="11" fillId="0" borderId="0" xfId="0" applyFont="1" applyAlignment="1">
      <alignment vertical="center"/>
    </xf>
    <xf numFmtId="14" fontId="4" fillId="0" borderId="0" xfId="0" applyNumberFormat="1" applyFont="1" applyAlignment="1">
      <alignment horizontal="left" vertical="center"/>
    </xf>
    <xf numFmtId="166" fontId="4" fillId="0" borderId="0" xfId="0" applyNumberFormat="1" applyFont="1" applyAlignment="1">
      <alignment horizontal="right" vertical="center"/>
    </xf>
    <xf numFmtId="0" fontId="12" fillId="0" borderId="0" xfId="0" pivotButton="1" applyFont="1" applyAlignment="1">
      <alignment vertical="center"/>
    </xf>
    <xf numFmtId="0" fontId="12" fillId="0" borderId="0" xfId="0" applyFont="1" applyAlignment="1">
      <alignment horizontal="right" vertical="center"/>
    </xf>
    <xf numFmtId="0" fontId="12" fillId="0" borderId="0" xfId="0" applyFont="1" applyAlignment="1">
      <alignment vertical="center"/>
    </xf>
    <xf numFmtId="166" fontId="12" fillId="0" borderId="0" xfId="0" applyNumberFormat="1" applyFont="1" applyAlignment="1">
      <alignment horizontal="right" vertical="center"/>
    </xf>
    <xf numFmtId="0" fontId="4" fillId="0" borderId="0" xfId="0" applyNumberFormat="1" applyFont="1" applyAlignment="1">
      <alignment vertical="center"/>
    </xf>
    <xf numFmtId="0" fontId="12" fillId="0" borderId="0" xfId="0" applyNumberFormat="1" applyFont="1" applyAlignment="1">
      <alignment vertical="center"/>
    </xf>
  </cellXfs>
  <cellStyles count="4">
    <cellStyle name="Heading 2 2" xfId="3" xr:uid="{EE6C9184-38C6-444D-A23D-5327F16E96D0}"/>
    <cellStyle name="Hyperlink" xfId="1" builtinId="8"/>
    <cellStyle name="Normal" xfId="0" builtinId="0"/>
    <cellStyle name="Normal 2" xfId="2" xr:uid="{8A75DABF-FCAE-43E2-807E-7F1DCB83DE3A}"/>
  </cellStyles>
  <dxfs count="185">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numFmt numFmtId="166" formatCode="0.0"/>
    </dxf>
    <dxf>
      <alignment horizontal="right"/>
    </dxf>
    <dxf>
      <alignment horizontal="right"/>
    </dxf>
    <dxf>
      <font>
        <name val="Segoe UI Semibold"/>
        <scheme val="major"/>
      </font>
    </dxf>
    <dxf>
      <font>
        <name val="Segoe UI"/>
        <family val="2"/>
        <scheme val="min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numFmt numFmtId="166" formatCode="0.0"/>
    </dxf>
    <dxf>
      <alignment horizontal="right"/>
    </dxf>
    <dxf>
      <alignment horizontal="right"/>
    </dxf>
    <dxf>
      <font>
        <name val="Segoe UI Semibold"/>
        <scheme val="major"/>
      </font>
    </dxf>
    <dxf>
      <font>
        <name val="Segoe UI"/>
        <family val="2"/>
        <scheme val="minor"/>
      </font>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font>
        <name val="Segoe UI"/>
        <family val="2"/>
        <scheme val="minor"/>
      </font>
    </dxf>
    <dxf>
      <font>
        <name val="Segoe UI Semibold"/>
        <scheme val="major"/>
      </font>
    </dxf>
    <dxf>
      <alignment horizontal="right"/>
    </dxf>
    <dxf>
      <alignment horizontal="right"/>
    </dxf>
    <dxf>
      <numFmt numFmtId="166" formatCode="0.0"/>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family val="2"/>
        <scheme val="minor"/>
      </font>
    </dxf>
    <dxf>
      <font>
        <name val="Segoe UI Semibold"/>
        <scheme val="major"/>
      </font>
    </dxf>
    <dxf>
      <alignment horizontal="right"/>
    </dxf>
    <dxf>
      <alignment horizontal="right"/>
    </dxf>
    <dxf>
      <numFmt numFmtId="166" formatCode="0.0"/>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border>
        <top style="thin">
          <color auto="1"/>
        </top>
        <bottom style="thin">
          <color auto="1"/>
        </bottom>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5" xr9:uid="{84AFBC9F-32B3-4B24-87A2-159F8E934044}">
      <tableStyleElement type="wholeTable" dxfId="184"/>
      <tableStyleElement type="headerRow" dxfId="183"/>
      <tableStyleElement type="totalRow" dxfId="182"/>
      <tableStyleElement type="secondRowStripe" dxfId="181"/>
      <tableStyleElement type="secondSubtotalRow" dxfId="180"/>
    </tableStyle>
    <tableStyle name="Business Central Reports Slicer Style (Template)" pivot="0" table="0" count="10" xr9:uid="{B8C87029-C43C-4D84-9238-961535D3F4EB}">
      <tableStyleElement type="wholeTable" dxfId="179"/>
      <tableStyleElement type="headerRow" dxfId="178"/>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1825620</xdr:colOff>
      <xdr:row>10</xdr:row>
      <xdr:rowOff>38250</xdr:rowOff>
    </xdr:to>
    <mc:AlternateContent xmlns:mc="http://schemas.openxmlformats.org/markup-compatibility/2006" xmlns:a14="http://schemas.microsoft.com/office/drawing/2010/main">
      <mc:Choice Requires="a14">
        <xdr:graphicFrame macro="">
          <xdr:nvGraphicFramePr>
            <xdr:cNvPr id="2" name="$CustNo$">
              <a:extLst>
                <a:ext uri="{FF2B5EF4-FFF2-40B4-BE49-F238E27FC236}">
                  <a16:creationId xmlns:a16="http://schemas.microsoft.com/office/drawing/2014/main" id="{557966B2-C6D8-90AF-4BD9-112ED7A5D166}"/>
                </a:ext>
              </a:extLst>
            </xdr:cNvPr>
            <xdr:cNvGraphicFramePr/>
          </xdr:nvGraphicFramePr>
          <xdr:xfrm>
            <a:off x="0" y="0"/>
            <a:ext cx="0" cy="0"/>
          </xdr:xfrm>
          <a:graphic>
            <a:graphicData uri="http://schemas.microsoft.com/office/drawing/2010/slicer">
              <sle:slicer xmlns:sle="http://schemas.microsoft.com/office/drawing/2010/slicer" name="$CustNo$"/>
            </a:graphicData>
          </a:graphic>
        </xdr:graphicFrame>
      </mc:Choice>
      <mc:Fallback xmlns="">
        <xdr:sp macro="" textlink="">
          <xdr:nvSpPr>
            <xdr:cNvPr id="0" name=""/>
            <xdr:cNvSpPr>
              <a:spLocks noTextEdit="1"/>
            </xdr:cNvSpPr>
          </xdr:nvSpPr>
          <xdr:spPr>
            <a:xfrm>
              <a:off x="0" y="0"/>
              <a:ext cx="1819905"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0</xdr:row>
      <xdr:rowOff>0</xdr:rowOff>
    </xdr:from>
    <xdr:to>
      <xdr:col>0</xdr:col>
      <xdr:colOff>3692520</xdr:colOff>
      <xdr:row>10</xdr:row>
      <xdr:rowOff>38250</xdr:rowOff>
    </xdr:to>
    <mc:AlternateContent xmlns:mc="http://schemas.openxmlformats.org/markup-compatibility/2006" xmlns:a14="http://schemas.microsoft.com/office/drawing/2010/main">
      <mc:Choice Requires="a14">
        <xdr:graphicFrame macro="">
          <xdr:nvGraphicFramePr>
            <xdr:cNvPr id="3" name="$CustName$">
              <a:extLst>
                <a:ext uri="{FF2B5EF4-FFF2-40B4-BE49-F238E27FC236}">
                  <a16:creationId xmlns:a16="http://schemas.microsoft.com/office/drawing/2014/main" id="{35A1831D-B62A-4C96-DC1D-6BEF1A20BF85}"/>
                </a:ext>
              </a:extLst>
            </xdr:cNvPr>
            <xdr:cNvGraphicFramePr/>
          </xdr:nvGraphicFramePr>
          <xdr:xfrm>
            <a:off x="0" y="0"/>
            <a:ext cx="0" cy="0"/>
          </xdr:xfrm>
          <a:graphic>
            <a:graphicData uri="http://schemas.microsoft.com/office/drawing/2010/slicer">
              <sle:slicer xmlns:sle="http://schemas.microsoft.com/office/drawing/2010/slicer" name="$CustName$"/>
            </a:graphicData>
          </a:graphic>
        </xdr:graphicFrame>
      </mc:Choice>
      <mc:Fallback xmlns="">
        <xdr:sp macro="" textlink="">
          <xdr:nvSpPr>
            <xdr:cNvPr id="0" name=""/>
            <xdr:cNvSpPr>
              <a:spLocks noTextEdit="1"/>
            </xdr:cNvSpPr>
          </xdr:nvSpPr>
          <xdr:spPr>
            <a:xfrm>
              <a:off x="1866900" y="0"/>
              <a:ext cx="1819905"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10</xdr:row>
      <xdr:rowOff>80010</xdr:rowOff>
    </xdr:from>
    <xdr:to>
      <xdr:col>0</xdr:col>
      <xdr:colOff>1825620</xdr:colOff>
      <xdr:row>20</xdr:row>
      <xdr:rowOff>118260</xdr:rowOff>
    </xdr:to>
    <mc:AlternateContent xmlns:mc="http://schemas.openxmlformats.org/markup-compatibility/2006" xmlns:a14="http://schemas.microsoft.com/office/drawing/2010/main">
      <mc:Choice Requires="a14">
        <xdr:graphicFrame macro="">
          <xdr:nvGraphicFramePr>
            <xdr:cNvPr id="4" name="$ItemNo$">
              <a:extLst>
                <a:ext uri="{FF2B5EF4-FFF2-40B4-BE49-F238E27FC236}">
                  <a16:creationId xmlns:a16="http://schemas.microsoft.com/office/drawing/2014/main" id="{97E3EDCA-44B1-01B1-ED20-0F0D390E05EB}"/>
                </a:ext>
              </a:extLst>
            </xdr:cNvPr>
            <xdr:cNvGraphicFramePr/>
          </xdr:nvGraphicFramePr>
          <xdr:xfrm>
            <a:off x="0" y="0"/>
            <a:ext cx="0" cy="0"/>
          </xdr:xfrm>
          <a:graphic>
            <a:graphicData uri="http://schemas.microsoft.com/office/drawing/2010/slicer">
              <sle:slicer xmlns:sle="http://schemas.microsoft.com/office/drawing/2010/slicer" name="$ItemNo$"/>
            </a:graphicData>
          </a:graphic>
        </xdr:graphicFrame>
      </mc:Choice>
      <mc:Fallback xmlns="">
        <xdr:sp macro="" textlink="">
          <xdr:nvSpPr>
            <xdr:cNvPr id="0" name=""/>
            <xdr:cNvSpPr>
              <a:spLocks noTextEdit="1"/>
            </xdr:cNvSpPr>
          </xdr:nvSpPr>
          <xdr:spPr>
            <a:xfrm>
              <a:off x="0" y="2674620"/>
              <a:ext cx="1819905"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10</xdr:row>
      <xdr:rowOff>80010</xdr:rowOff>
    </xdr:from>
    <xdr:to>
      <xdr:col>0</xdr:col>
      <xdr:colOff>3692520</xdr:colOff>
      <xdr:row>20</xdr:row>
      <xdr:rowOff>118260</xdr:rowOff>
    </xdr:to>
    <mc:AlternateContent xmlns:mc="http://schemas.openxmlformats.org/markup-compatibility/2006" xmlns:a14="http://schemas.microsoft.com/office/drawing/2010/main">
      <mc:Choice Requires="a14">
        <xdr:graphicFrame macro="">
          <xdr:nvGraphicFramePr>
            <xdr:cNvPr id="5" name="$ItemDesc$">
              <a:extLst>
                <a:ext uri="{FF2B5EF4-FFF2-40B4-BE49-F238E27FC236}">
                  <a16:creationId xmlns:a16="http://schemas.microsoft.com/office/drawing/2014/main" id="{6EE3D06F-4C18-0E69-B36C-4658AB4D9FC3}"/>
                </a:ext>
              </a:extLst>
            </xdr:cNvPr>
            <xdr:cNvGraphicFramePr/>
          </xdr:nvGraphicFramePr>
          <xdr:xfrm>
            <a:off x="0" y="0"/>
            <a:ext cx="0" cy="0"/>
          </xdr:xfrm>
          <a:graphic>
            <a:graphicData uri="http://schemas.microsoft.com/office/drawing/2010/slicer">
              <sle:slicer xmlns:sle="http://schemas.microsoft.com/office/drawing/2010/slicer" name="$ItemDesc$"/>
            </a:graphicData>
          </a:graphic>
        </xdr:graphicFrame>
      </mc:Choice>
      <mc:Fallback xmlns="">
        <xdr:sp macro="" textlink="">
          <xdr:nvSpPr>
            <xdr:cNvPr id="0" name=""/>
            <xdr:cNvSpPr>
              <a:spLocks noTextEdit="1"/>
            </xdr:cNvSpPr>
          </xdr:nvSpPr>
          <xdr:spPr>
            <a:xfrm>
              <a:off x="1866900" y="2674620"/>
              <a:ext cx="1819905" cy="2629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Predrag Maricic" refreshedDate="46136.791631250002" createdVersion="8" refreshedVersion="8" minRefreshableVersion="3" recordCount="1" xr:uid="{1A05F991-BBAC-4211-9094-D495906241F6}">
  <cacheSource type="worksheet">
    <worksheetSource name="CustomerItemSales_Query"/>
  </cacheSource>
  <cacheFields count="11">
    <cacheField name="Customer__No__" numFmtId="0">
      <sharedItems count="1">
        <s v=""/>
      </sharedItems>
    </cacheField>
    <cacheField name="Customer_Name" numFmtId="0">
      <sharedItems count="1">
        <s v=""/>
      </sharedItems>
    </cacheField>
    <cacheField name="ValueEntryBuffer__Item_No__" numFmtId="0">
      <sharedItems count="1">
        <s v=""/>
      </sharedItems>
    </cacheField>
    <cacheField name="Item_Description" numFmtId="0">
      <sharedItems count="1">
        <s v=""/>
      </sharedItems>
    </cacheField>
    <cacheField name="ValueEntryBuffer__Invoiced_Quantity_" numFmtId="0">
      <sharedItems containsSemiMixedTypes="0" containsString="0" containsNumber="1" containsInteger="1" minValue="0" maxValue="0"/>
    </cacheField>
    <cacheField name="Item__Base_Unit_of_Measure_" numFmtId="0">
      <sharedItems count="1">
        <s v=""/>
      </sharedItems>
    </cacheField>
    <cacheField name="ValueEntryBuffer__Sales_Amount__Actual__" numFmtId="0">
      <sharedItems containsSemiMixedTypes="0" containsString="0" containsNumber="1" containsInteger="1" minValue="0" maxValue="0"/>
    </cacheField>
    <cacheField name="ValueEntryBuffer__Discount_Amount_" numFmtId="0">
      <sharedItems containsSemiMixedTypes="0" containsString="0" containsNumber="1" containsInteger="1" minValue="0" maxValue="0"/>
    </cacheField>
    <cacheField name="Profit" numFmtId="0">
      <sharedItems containsSemiMixedTypes="0" containsString="0" containsNumber="1" containsInteger="1" minValue="0" maxValue="0"/>
    </cacheField>
    <cacheField name="ProfitPct" numFmtId="0">
      <sharedItems containsSemiMixedTypes="0" containsString="0" containsNumber="1" containsInteger="1" minValue="0" maxValue="0"/>
    </cacheField>
    <cacheField name="CalculatedProfit" numFmtId="0" formula="Profit/ValueEntryBuffer__Sales_Amount__Actual__* 100" databaseField="0"/>
  </cacheFields>
  <extLst>
    <ext xmlns:x14="http://schemas.microsoft.com/office/spreadsheetml/2009/9/main" uri="{725AE2AE-9491-48be-B2B4-4EB974FC3084}">
      <x14:pivotCacheDefinition pivotCacheId="9055906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n v="0"/>
    <x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127AF7-F63A-454B-9780-F2CA4E145601}" name="PivotTable1" cacheId="8" applyNumberFormats="0" applyBorderFormats="0" applyFontFormats="0" applyPatternFormats="0" applyAlignmentFormats="0" applyWidthHeightFormats="1" dataCaption="Values" errorCaption="0" showError="1" updatedVersion="8" minRefreshableVersion="3" showDrill="0" itemPrintTitles="1" createdVersion="8" indent="0" compact="0" compactData="0" multipleFieldFilters="0">
  <location ref="B10:K13" firstHeaderRow="0" firstDataRow="1" firstDataCol="5"/>
  <pivotFields count="11">
    <pivotField name="$CustNo$" axis="axisRow" compact="0" outline="0" showAll="0" defaultSubtotal="0">
      <items count="1">
        <item x="0"/>
      </items>
    </pivotField>
    <pivotField name="$CustName$" axis="axisRow" compact="0" outline="0" showAll="0">
      <items count="2">
        <item x="0"/>
        <item t="default"/>
      </items>
    </pivotField>
    <pivotField name="$ItemNo$" axis="axisRow" compact="0" outline="0" showAll="0" defaultSubtotal="0">
      <items count="1">
        <item x="0"/>
      </items>
    </pivotField>
    <pivotField name="$ItemDesc$" axis="axisRow" compact="0" outline="0" showAll="0" defaultSubtotal="0">
      <items count="1">
        <item x="0"/>
      </items>
    </pivotField>
    <pivotField dataField="1" compact="0" outline="0" showAll="0" defaultSubtotal="0"/>
    <pivotField name="$UnitOfMeasure$"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ubtotalTop="0" dragToRow="0" dragToCol="0" dragToPage="0" showAll="0" defaultSubtotal="0"/>
  </pivotFields>
  <rowFields count="5">
    <field x="0"/>
    <field x="1"/>
    <field x="2"/>
    <field x="3"/>
    <field x="5"/>
  </rowFields>
  <rowItems count="3">
    <i>
      <x/>
      <x/>
      <x/>
      <x/>
      <x/>
    </i>
    <i t="default" r="1">
      <x/>
    </i>
    <i t="grand">
      <x/>
    </i>
  </rowItems>
  <colFields count="1">
    <field x="-2"/>
  </colFields>
  <colItems count="5">
    <i>
      <x/>
    </i>
    <i i="1">
      <x v="1"/>
    </i>
    <i i="2">
      <x v="2"/>
    </i>
    <i i="3">
      <x v="3"/>
    </i>
    <i i="4">
      <x v="4"/>
    </i>
  </colItems>
  <dataFields count="5">
    <dataField name="$InvoicedQuantity$" fld="4" baseField="0" baseItem="0"/>
    <dataField name="$Amount$" fld="6" baseField="0" baseItem="0"/>
    <dataField name="$DiscountAmount$" fld="7" baseField="0" baseItem="0"/>
    <dataField name="$Profit$" fld="8" baseField="0" baseItem="0"/>
    <dataField name="$ProfitPercent$" fld="10" baseField="5" baseItem="0" numFmtId="166"/>
  </dataFields>
  <formats count="42">
    <format dxfId="177">
      <pivotArea field="0" type="button" dataOnly="0" labelOnly="1" outline="0" axis="axisRow" fieldPosition="0"/>
    </format>
    <format dxfId="176">
      <pivotArea field="1" type="button" dataOnly="0" labelOnly="1" outline="0" axis="axisRow" fieldPosition="1"/>
    </format>
    <format dxfId="175">
      <pivotArea field="2" type="button" dataOnly="0" labelOnly="1" outline="0" axis="axisRow" fieldPosition="2"/>
    </format>
    <format dxfId="174">
      <pivotArea field="3" type="button" dataOnly="0" labelOnly="1" outline="0" axis="axisRow" fieldPosition="3"/>
    </format>
    <format dxfId="173">
      <pivotArea field="5" type="button" dataOnly="0" labelOnly="1" outline="0" axis="axisRow" fieldPosition="4"/>
    </format>
    <format dxfId="172">
      <pivotArea dataOnly="0" labelOnly="1" outline="0" fieldPosition="0">
        <references count="1">
          <reference field="4294967294" count="4">
            <x v="0"/>
            <x v="1"/>
            <x v="2"/>
            <x v="3"/>
          </reference>
        </references>
      </pivotArea>
    </format>
    <format dxfId="171">
      <pivotArea type="all" dataOnly="0" outline="0" fieldPosition="0"/>
    </format>
    <format dxfId="170">
      <pivotArea outline="0" collapsedLevelsAreSubtotals="1" fieldPosition="0"/>
    </format>
    <format dxfId="169">
      <pivotArea field="0" type="button" dataOnly="0" labelOnly="1" outline="0" axis="axisRow" fieldPosition="0"/>
    </format>
    <format dxfId="168">
      <pivotArea field="1" type="button" dataOnly="0" labelOnly="1" outline="0" axis="axisRow" fieldPosition="1"/>
    </format>
    <format dxfId="167">
      <pivotArea field="2" type="button" dataOnly="0" labelOnly="1" outline="0" axis="axisRow" fieldPosition="2"/>
    </format>
    <format dxfId="166">
      <pivotArea field="3" type="button" dataOnly="0" labelOnly="1" outline="0" axis="axisRow" fieldPosition="3"/>
    </format>
    <format dxfId="165">
      <pivotArea field="5" type="button" dataOnly="0" labelOnly="1" outline="0" axis="axisRow" fieldPosition="4"/>
    </format>
    <format dxfId="164">
      <pivotArea dataOnly="0" labelOnly="1" outline="0" fieldPosition="0">
        <references count="1">
          <reference field="0" count="0"/>
        </references>
      </pivotArea>
    </format>
    <format dxfId="163">
      <pivotArea dataOnly="0" labelOnly="1" grandRow="1" outline="0" fieldPosition="0"/>
    </format>
    <format dxfId="162">
      <pivotArea dataOnly="0" labelOnly="1" outline="0" fieldPosition="0">
        <references count="2">
          <reference field="0" count="0" selected="0"/>
          <reference field="1" count="0"/>
        </references>
      </pivotArea>
    </format>
    <format dxfId="161">
      <pivotArea dataOnly="0" labelOnly="1" outline="0" fieldPosition="0">
        <references count="3">
          <reference field="0" count="0" selected="0"/>
          <reference field="1" count="0" selected="0"/>
          <reference field="2" count="0"/>
        </references>
      </pivotArea>
    </format>
    <format dxfId="160">
      <pivotArea dataOnly="0" labelOnly="1" outline="0" fieldPosition="0">
        <references count="4">
          <reference field="0" count="0" selected="0"/>
          <reference field="1" count="0" selected="0"/>
          <reference field="2" count="0" selected="0"/>
          <reference field="3" count="0"/>
        </references>
      </pivotArea>
    </format>
    <format dxfId="159">
      <pivotArea dataOnly="0" labelOnly="1" outline="0" fieldPosition="0">
        <references count="5">
          <reference field="0" count="0" selected="0"/>
          <reference field="1" count="0" selected="0"/>
          <reference field="2" count="0" selected="0"/>
          <reference field="3" count="0" selected="0"/>
          <reference field="5" count="0"/>
        </references>
      </pivotArea>
    </format>
    <format dxfId="158">
      <pivotArea dataOnly="0" labelOnly="1" outline="0" fieldPosition="0">
        <references count="1">
          <reference field="4294967294" count="4">
            <x v="0"/>
            <x v="1"/>
            <x v="2"/>
            <x v="3"/>
          </reference>
        </references>
      </pivotArea>
    </format>
    <format dxfId="157">
      <pivotArea dataOnly="0" labelOnly="1" outline="0" fieldPosition="0">
        <references count="1">
          <reference field="4294967294" count="4">
            <x v="0"/>
            <x v="1"/>
            <x v="2"/>
            <x v="3"/>
          </reference>
        </references>
      </pivotArea>
    </format>
    <format dxfId="156">
      <pivotArea type="all" dataOnly="0" outline="0" fieldPosition="0"/>
    </format>
    <format dxfId="155">
      <pivotArea outline="0" collapsedLevelsAreSubtotals="1" fieldPosition="0"/>
    </format>
    <format dxfId="154">
      <pivotArea field="0" type="button" dataOnly="0" labelOnly="1" outline="0" axis="axisRow" fieldPosition="0"/>
    </format>
    <format dxfId="153">
      <pivotArea field="1" type="button" dataOnly="0" labelOnly="1" outline="0" axis="axisRow" fieldPosition="1"/>
    </format>
    <format dxfId="152">
      <pivotArea field="2" type="button" dataOnly="0" labelOnly="1" outline="0" axis="axisRow" fieldPosition="2"/>
    </format>
    <format dxfId="151">
      <pivotArea field="3" type="button" dataOnly="0" labelOnly="1" outline="0" axis="axisRow" fieldPosition="3"/>
    </format>
    <format dxfId="150">
      <pivotArea field="5" type="button" dataOnly="0" labelOnly="1" outline="0" axis="axisRow" fieldPosition="4"/>
    </format>
    <format dxfId="149">
      <pivotArea dataOnly="0" labelOnly="1" outline="0" fieldPosition="0">
        <references count="1">
          <reference field="0" count="0"/>
        </references>
      </pivotArea>
    </format>
    <format dxfId="148">
      <pivotArea dataOnly="0" labelOnly="1" grandRow="1" outline="0" fieldPosition="0"/>
    </format>
    <format dxfId="147">
      <pivotArea dataOnly="0" labelOnly="1" outline="0" fieldPosition="0">
        <references count="2">
          <reference field="0" count="0" selected="0"/>
          <reference field="1" count="0"/>
        </references>
      </pivotArea>
    </format>
    <format dxfId="146">
      <pivotArea dataOnly="0" labelOnly="1" outline="0" fieldPosition="0">
        <references count="3">
          <reference field="0" count="0" selected="0"/>
          <reference field="1" count="0" selected="0"/>
          <reference field="2" count="0"/>
        </references>
      </pivotArea>
    </format>
    <format dxfId="145">
      <pivotArea dataOnly="0" labelOnly="1" outline="0" fieldPosition="0">
        <references count="4">
          <reference field="0" count="0" selected="0"/>
          <reference field="1" count="0" selected="0"/>
          <reference field="2" count="0" selected="0"/>
          <reference field="3" count="0"/>
        </references>
      </pivotArea>
    </format>
    <format dxfId="144">
      <pivotArea dataOnly="0" labelOnly="1" outline="0" fieldPosition="0">
        <references count="5">
          <reference field="0" count="0" selected="0"/>
          <reference field="1" count="0" selected="0"/>
          <reference field="2" count="0" selected="0"/>
          <reference field="3" count="0" selected="0"/>
          <reference field="5" count="0"/>
        </references>
      </pivotArea>
    </format>
    <format dxfId="143">
      <pivotArea dataOnly="0" labelOnly="1" outline="0" fieldPosition="0">
        <references count="1">
          <reference field="4294967294" count="4">
            <x v="0"/>
            <x v="1"/>
            <x v="2"/>
            <x v="3"/>
          </reference>
        </references>
      </pivotArea>
    </format>
    <format dxfId="142">
      <pivotArea outline="0" fieldPosition="0">
        <references count="2">
          <reference field="0" count="0" selected="0"/>
          <reference field="1" count="0" selected="0" defaultSubtotal="1"/>
        </references>
      </pivotArea>
    </format>
    <format dxfId="141">
      <pivotArea dataOnly="0" labelOnly="1" outline="0" fieldPosition="0">
        <references count="2">
          <reference field="0" count="0" selected="0"/>
          <reference field="1" count="0" defaultSubtotal="1"/>
        </references>
      </pivotArea>
    </format>
    <format dxfId="140">
      <pivotArea outline="0" fieldPosition="0">
        <references count="1">
          <reference field="4294967294" count="1">
            <x v="4"/>
          </reference>
        </references>
      </pivotArea>
    </format>
    <format dxfId="139">
      <pivotArea outline="0" fieldPosition="0">
        <references count="1">
          <reference field="4294967294" count="1" selected="0">
            <x v="4"/>
          </reference>
        </references>
      </pivotArea>
    </format>
    <format dxfId="138">
      <pivotArea dataOnly="0" labelOnly="1" outline="0" fieldPosition="0">
        <references count="1">
          <reference field="4294967294" count="1">
            <x v="4"/>
          </reference>
        </references>
      </pivotArea>
    </format>
    <format dxfId="137">
      <pivotArea dataOnly="0" labelOnly="1" outline="0" fieldPosition="0">
        <references count="1">
          <reference field="4294967294" count="1">
            <x v="4"/>
          </reference>
        </references>
      </pivotArea>
    </format>
    <format dxfId="136">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F50EEB-3A2A-4B49-89C5-89287311AA3C}" name="PivotTable1" cacheId="8" applyNumberFormats="0" applyBorderFormats="0" applyFontFormats="0" applyPatternFormats="0" applyAlignmentFormats="0" applyWidthHeightFormats="1" dataCaption="Values" errorCaption="0" showError="1" updatedVersion="8" minRefreshableVersion="3" showDrill="0" itemPrintTitles="1" createdVersion="8" indent="0" compact="0" compactData="0" multipleFieldFilters="0">
  <location ref="B1:K4" firstHeaderRow="0" firstDataRow="1" firstDataCol="5"/>
  <pivotFields count="11">
    <pivotField name="$CustNo$" axis="axisRow" compact="0" outline="0" showAll="0" defaultSubtotal="0">
      <items count="1">
        <item x="0"/>
      </items>
    </pivotField>
    <pivotField name="$CustName$" axis="axisRow" compact="0" outline="0" showAll="0">
      <items count="2">
        <item x="0"/>
        <item t="default"/>
      </items>
    </pivotField>
    <pivotField name="$ItemNo$" axis="axisRow" compact="0" outline="0" showAll="0" defaultSubtotal="0">
      <items count="1">
        <item x="0"/>
      </items>
    </pivotField>
    <pivotField name="$ItemDesc$" axis="axisRow" compact="0" outline="0" showAll="0" defaultSubtotal="0">
      <items count="1">
        <item x="0"/>
      </items>
    </pivotField>
    <pivotField dataField="1" compact="0" outline="0" showAll="0" defaultSubtotal="0"/>
    <pivotField name="$UnitOfMeasure$" axis="axisRow" compact="0" outline="0" showAll="0" defaultSubtotal="0">
      <items count="1">
        <item x="0"/>
      </items>
    </pivotField>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ubtotalTop="0" dragToRow="0" dragToCol="0" dragToPage="0" showAll="0" defaultSubtotal="0"/>
  </pivotFields>
  <rowFields count="5">
    <field x="0"/>
    <field x="1"/>
    <field x="2"/>
    <field x="3"/>
    <field x="5"/>
  </rowFields>
  <rowItems count="3">
    <i>
      <x/>
      <x/>
      <x/>
      <x/>
      <x/>
    </i>
    <i t="default" r="1">
      <x/>
    </i>
    <i t="grand">
      <x/>
    </i>
  </rowItems>
  <colFields count="1">
    <field x="-2"/>
  </colFields>
  <colItems count="5">
    <i>
      <x/>
    </i>
    <i i="1">
      <x v="1"/>
    </i>
    <i i="2">
      <x v="2"/>
    </i>
    <i i="3">
      <x v="3"/>
    </i>
    <i i="4">
      <x v="4"/>
    </i>
  </colItems>
  <dataFields count="5">
    <dataField name="$InvoicedQuantity$" fld="4" baseField="0" baseItem="0"/>
    <dataField name="$Amount$" fld="6" baseField="0" baseItem="0"/>
    <dataField name="$DiscountAmount$" fld="7" baseField="0" baseItem="0"/>
    <dataField name="$Profit$" fld="8" baseField="0" baseItem="0"/>
    <dataField name="$ProfitPercent$" fld="10" baseField="5" baseItem="0" numFmtId="166"/>
  </dataFields>
  <formats count="42">
    <format dxfId="135">
      <pivotArea field="0" type="button" dataOnly="0" labelOnly="1" outline="0" axis="axisRow" fieldPosition="0"/>
    </format>
    <format dxfId="134">
      <pivotArea field="1" type="button" dataOnly="0" labelOnly="1" outline="0" axis="axisRow" fieldPosition="1"/>
    </format>
    <format dxfId="133">
      <pivotArea field="2" type="button" dataOnly="0" labelOnly="1" outline="0" axis="axisRow" fieldPosition="2"/>
    </format>
    <format dxfId="132">
      <pivotArea field="3" type="button" dataOnly="0" labelOnly="1" outline="0" axis="axisRow" fieldPosition="3"/>
    </format>
    <format dxfId="131">
      <pivotArea field="5" type="button" dataOnly="0" labelOnly="1" outline="0" axis="axisRow" fieldPosition="4"/>
    </format>
    <format dxfId="130">
      <pivotArea dataOnly="0" labelOnly="1" outline="0" fieldPosition="0">
        <references count="1">
          <reference field="4294967294" count="4">
            <x v="0"/>
            <x v="1"/>
            <x v="2"/>
            <x v="3"/>
          </reference>
        </references>
      </pivotArea>
    </format>
    <format dxfId="129">
      <pivotArea type="all" dataOnly="0" outline="0" fieldPosition="0"/>
    </format>
    <format dxfId="128">
      <pivotArea outline="0" collapsedLevelsAreSubtotals="1" fieldPosition="0"/>
    </format>
    <format dxfId="127">
      <pivotArea field="0" type="button" dataOnly="0" labelOnly="1" outline="0" axis="axisRow" fieldPosition="0"/>
    </format>
    <format dxfId="126">
      <pivotArea field="1" type="button" dataOnly="0" labelOnly="1" outline="0" axis="axisRow" fieldPosition="1"/>
    </format>
    <format dxfId="125">
      <pivotArea field="2" type="button" dataOnly="0" labelOnly="1" outline="0" axis="axisRow" fieldPosition="2"/>
    </format>
    <format dxfId="124">
      <pivotArea field="3" type="button" dataOnly="0" labelOnly="1" outline="0" axis="axisRow" fieldPosition="3"/>
    </format>
    <format dxfId="123">
      <pivotArea field="5" type="button" dataOnly="0" labelOnly="1" outline="0" axis="axisRow" fieldPosition="4"/>
    </format>
    <format dxfId="122">
      <pivotArea dataOnly="0" labelOnly="1" outline="0" fieldPosition="0">
        <references count="1">
          <reference field="0" count="0"/>
        </references>
      </pivotArea>
    </format>
    <format dxfId="121">
      <pivotArea dataOnly="0" labelOnly="1" grandRow="1" outline="0" fieldPosition="0"/>
    </format>
    <format dxfId="120">
      <pivotArea dataOnly="0" labelOnly="1" outline="0" fieldPosition="0">
        <references count="2">
          <reference field="0" count="0" selected="0"/>
          <reference field="1" count="0"/>
        </references>
      </pivotArea>
    </format>
    <format dxfId="119">
      <pivotArea dataOnly="0" labelOnly="1" outline="0" fieldPosition="0">
        <references count="3">
          <reference field="0" count="0" selected="0"/>
          <reference field="1" count="0" selected="0"/>
          <reference field="2" count="0"/>
        </references>
      </pivotArea>
    </format>
    <format dxfId="118">
      <pivotArea dataOnly="0" labelOnly="1" outline="0" fieldPosition="0">
        <references count="4">
          <reference field="0" count="0" selected="0"/>
          <reference field="1" count="0" selected="0"/>
          <reference field="2" count="0" selected="0"/>
          <reference field="3" count="0"/>
        </references>
      </pivotArea>
    </format>
    <format dxfId="117">
      <pivotArea dataOnly="0" labelOnly="1" outline="0" fieldPosition="0">
        <references count="5">
          <reference field="0" count="0" selected="0"/>
          <reference field="1" count="0" selected="0"/>
          <reference field="2" count="0" selected="0"/>
          <reference field="3" count="0" selected="0"/>
          <reference field="5" count="0"/>
        </references>
      </pivotArea>
    </format>
    <format dxfId="116">
      <pivotArea dataOnly="0" labelOnly="1" outline="0" fieldPosition="0">
        <references count="1">
          <reference field="4294967294" count="4">
            <x v="0"/>
            <x v="1"/>
            <x v="2"/>
            <x v="3"/>
          </reference>
        </references>
      </pivotArea>
    </format>
    <format dxfId="115">
      <pivotArea dataOnly="0" labelOnly="1" outline="0" fieldPosition="0">
        <references count="1">
          <reference field="4294967294" count="4">
            <x v="0"/>
            <x v="1"/>
            <x v="2"/>
            <x v="3"/>
          </reference>
        </references>
      </pivotArea>
    </format>
    <format dxfId="114">
      <pivotArea type="all" dataOnly="0" outline="0" fieldPosition="0"/>
    </format>
    <format dxfId="113">
      <pivotArea outline="0" collapsedLevelsAreSubtotals="1" fieldPosition="0"/>
    </format>
    <format dxfId="112">
      <pivotArea field="0" type="button" dataOnly="0" labelOnly="1" outline="0" axis="axisRow" fieldPosition="0"/>
    </format>
    <format dxfId="111">
      <pivotArea field="1" type="button" dataOnly="0" labelOnly="1" outline="0" axis="axisRow" fieldPosition="1"/>
    </format>
    <format dxfId="110">
      <pivotArea field="2" type="button" dataOnly="0" labelOnly="1" outline="0" axis="axisRow" fieldPosition="2"/>
    </format>
    <format dxfId="109">
      <pivotArea field="3" type="button" dataOnly="0" labelOnly="1" outline="0" axis="axisRow" fieldPosition="3"/>
    </format>
    <format dxfId="108">
      <pivotArea field="5" type="button" dataOnly="0" labelOnly="1" outline="0" axis="axisRow" fieldPosition="4"/>
    </format>
    <format dxfId="107">
      <pivotArea dataOnly="0" labelOnly="1" outline="0" fieldPosition="0">
        <references count="1">
          <reference field="0" count="0"/>
        </references>
      </pivotArea>
    </format>
    <format dxfId="106">
      <pivotArea dataOnly="0" labelOnly="1" grandRow="1" outline="0" fieldPosition="0"/>
    </format>
    <format dxfId="105">
      <pivotArea dataOnly="0" labelOnly="1" outline="0" fieldPosition="0">
        <references count="2">
          <reference field="0" count="0" selected="0"/>
          <reference field="1" count="0"/>
        </references>
      </pivotArea>
    </format>
    <format dxfId="104">
      <pivotArea dataOnly="0" labelOnly="1" outline="0" fieldPosition="0">
        <references count="3">
          <reference field="0" count="0" selected="0"/>
          <reference field="1" count="0" selected="0"/>
          <reference field="2" count="0"/>
        </references>
      </pivotArea>
    </format>
    <format dxfId="103">
      <pivotArea dataOnly="0" labelOnly="1" outline="0" fieldPosition="0">
        <references count="4">
          <reference field="0" count="0" selected="0"/>
          <reference field="1" count="0" selected="0"/>
          <reference field="2" count="0" selected="0"/>
          <reference field="3" count="0"/>
        </references>
      </pivotArea>
    </format>
    <format dxfId="102">
      <pivotArea dataOnly="0" labelOnly="1" outline="0" fieldPosition="0">
        <references count="5">
          <reference field="0" count="0" selected="0"/>
          <reference field="1" count="0" selected="0"/>
          <reference field="2" count="0" selected="0"/>
          <reference field="3" count="0" selected="0"/>
          <reference field="5" count="0"/>
        </references>
      </pivotArea>
    </format>
    <format dxfId="101">
      <pivotArea dataOnly="0" labelOnly="1" outline="0" fieldPosition="0">
        <references count="1">
          <reference field="4294967294" count="4">
            <x v="0"/>
            <x v="1"/>
            <x v="2"/>
            <x v="3"/>
          </reference>
        </references>
      </pivotArea>
    </format>
    <format dxfId="100">
      <pivotArea outline="0" fieldPosition="0">
        <references count="2">
          <reference field="0" count="0" selected="0"/>
          <reference field="1" count="0" selected="0" defaultSubtotal="1"/>
        </references>
      </pivotArea>
    </format>
    <format dxfId="99">
      <pivotArea dataOnly="0" labelOnly="1" outline="0" fieldPosition="0">
        <references count="2">
          <reference field="0" count="0" selected="0"/>
          <reference field="1" count="0" defaultSubtotal="1"/>
        </references>
      </pivotArea>
    </format>
    <format dxfId="98">
      <pivotArea outline="0" fieldPosition="0">
        <references count="1">
          <reference field="4294967294" count="1">
            <x v="4"/>
          </reference>
        </references>
      </pivotArea>
    </format>
    <format dxfId="97">
      <pivotArea outline="0" fieldPosition="0">
        <references count="1">
          <reference field="4294967294" count="1" selected="0">
            <x v="4"/>
          </reference>
        </references>
      </pivotArea>
    </format>
    <format dxfId="96">
      <pivotArea dataOnly="0" labelOnly="1" outline="0" fieldPosition="0">
        <references count="1">
          <reference field="4294967294" count="1">
            <x v="4"/>
          </reference>
        </references>
      </pivotArea>
    </format>
    <format dxfId="95">
      <pivotArea dataOnly="0" labelOnly="1" outline="0" fieldPosition="0">
        <references count="1">
          <reference field="4294967294" count="1">
            <x v="4"/>
          </reference>
        </references>
      </pivotArea>
    </format>
    <format dxfId="94">
      <pivotArea dataOnly="0" labelOnly="1" outline="0" fieldPosition="0">
        <references count="1">
          <reference field="0" count="0"/>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08B49BD5-1D62-4157-A433-CA7F638858E6}" autoFormatId="16" applyNumberFormats="0" applyBorderFormats="0" applyFontFormats="0" applyPatternFormats="0" applyAlignmentFormats="0" applyWidthHeightFormats="0">
  <queryTableRefresh nextId="40">
    <queryTableFields count="10">
      <queryTableField id="8" name="Customer__No__" tableColumnId="8"/>
      <queryTableField id="9" name="Customer_Name" tableColumnId="9"/>
      <queryTableField id="28" name="ValueEntryBuffer__Item_No__" tableColumnId="28"/>
      <queryTableField id="29" name="Item_Description" tableColumnId="29"/>
      <queryTableField id="30" name="ValueEntryBuffer__Invoiced_Quantity_" tableColumnId="30"/>
      <queryTableField id="35" name="Item__Base_Unit_of_Measure_" tableColumnId="35"/>
      <queryTableField id="11" name="ValueEntryBuffer__Sales_Amount__Actual__" tableColumnId="11"/>
      <queryTableField id="12" name="ValueEntryBuffer__Discount_Amount_" tableColumnId="12"/>
      <queryTableField id="13" name="Profit" tableColumnId="13"/>
      <queryTableField id="14" name="ProfitPc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_No__" xr10:uid="{30E34E56-0F07-4E22-9B16-45646E7EE362}" sourceName="Customer__No__">
  <pivotTables>
    <pivotTable tabId="8" name="PivotTable1"/>
  </pivotTables>
  <data>
    <tabular pivotCacheId="905590674"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AEA5394-6736-45DB-94A6-6011E8946D20}" sourceName="Customer_Name">
  <pivotTables>
    <pivotTable tabId="8" name="PivotTable1"/>
  </pivotTables>
  <data>
    <tabular pivotCacheId="905590674"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alueEntryBuffer__Item_No__" xr10:uid="{D89BAAC2-3C28-45C5-91F9-64AF4D0281A2}" sourceName="ValueEntryBuffer__Item_No__">
  <pivotTables>
    <pivotTable tabId="8" name="PivotTable1"/>
  </pivotTables>
  <data>
    <tabular pivotCacheId="905590674"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Description" xr10:uid="{9DE3ED96-AE00-41A7-9F33-B5318C80C0DF}" sourceName="Item_Description">
  <pivotTables>
    <pivotTable tabId="8" name="PivotTable1"/>
  </pivotTables>
  <data>
    <tabular pivotCacheId="905590674"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No$" xr10:uid="{1A906F08-4EE6-42D2-807C-5F84A302FABE}" cache="Slicer_Customer__No__" caption="$CustNo$" style="Business Central Reports Slicer Style (Template)" rowHeight="273050"/>
  <slicer name="$CustName$" xr10:uid="{BFE0F23B-D7FA-441D-B14D-2B1F6AA32C54}" cache="Slicer_Customer_Name" caption="$CustName$" style="Business Central Reports Slicer Style (Template)" rowHeight="273050"/>
  <slicer name="$ItemNo$" xr10:uid="{51903144-202D-4683-BAE2-B63198F797EB}" cache="Slicer_ValueEntryBuffer__Item_No__" caption="$ItemNo$" style="Business Central Reports Slicer Style (Template)" rowHeight="273050"/>
  <slicer name="$ItemDesc$" xr10:uid="{9760D661-D83E-4F4B-9171-715A539829E1}" cache="Slicer_Item_Description" caption="$ItemDesc$"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77265B-2BCF-49A0-8E49-82856F71FDE4}" name="CustomerItemSales_Query" displayName="CustomerItemSales_Query" ref="A1:J2" tableType="queryTable" totalsRowShown="0">
  <autoFilter ref="A1:J2" xr:uid="{C077265B-2BCF-49A0-8E49-82856F71FDE4}"/>
  <tableColumns count="10">
    <tableColumn id="8" xr3:uid="{07C650EE-48A6-4304-A5D8-049C1AE9F1EC}" uniqueName="8" name="Customer__No__" queryTableFieldId="8" dataDxfId="93"/>
    <tableColumn id="9" xr3:uid="{3BA14FD5-C3A6-40F7-8E35-83D21F6C814A}" uniqueName="9" name="Customer_Name" queryTableFieldId="9" dataDxfId="92"/>
    <tableColumn id="28" xr3:uid="{4ADABA17-50DF-4554-8B3E-DE97DBF7A332}" uniqueName="28" name="ValueEntryBuffer__Item_No__" queryTableFieldId="28" dataDxfId="91"/>
    <tableColumn id="29" xr3:uid="{1C09AC69-7E92-4874-97C3-6201845DB299}" uniqueName="29" name="Item_Description" queryTableFieldId="29" dataDxfId="90"/>
    <tableColumn id="30" xr3:uid="{E2F67BF0-8025-43D2-A7B9-DC443CFAB9D1}" uniqueName="30" name="ValueEntryBuffer__Invoiced_Quantity_" queryTableFieldId="30"/>
    <tableColumn id="35" xr3:uid="{3E302A58-5E39-46B2-B506-75CF6EE4503B}" uniqueName="35" name="Item__Base_Unit_of_Measure_" queryTableFieldId="35" dataDxfId="89"/>
    <tableColumn id="11" xr3:uid="{D8D05C15-6769-499F-8C63-B6D33EFFF3A6}" uniqueName="11" name="ValueEntryBuffer__Sales_Amount__Actual__" queryTableFieldId="11"/>
    <tableColumn id="12" xr3:uid="{79B95391-5F58-4E4D-A272-326A978835AC}" uniqueName="12" name="ValueEntryBuffer__Discount_Amount_" queryTableFieldId="12"/>
    <tableColumn id="13" xr3:uid="{91B195E1-5A18-46CE-908A-A3DED3041E0C}" uniqueName="13" name="Profit" queryTableFieldId="13"/>
    <tableColumn id="14" xr3:uid="{1D74238C-5A5B-43B7-BD1E-179BB6E7B2E8}" uniqueName="14" name="ProfitPc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Customer" displayName="Customer" ref="A1:S2" totalsRowShown="0" headerRowDxfId="88">
  <autoFilter ref="A1:S2" xr:uid="{41D726F2-778D-4B1C-A5EA-875FED73D050}"/>
  <tableColumns count="19">
    <tableColumn id="1" xr3:uid="{21867904-D69E-41E3-B5BE-D9B124B8D7E4}" name="STRSUBSTNO_Text000_PeriodText_"/>
    <tableColumn id="3" xr3:uid="{21867904-D69E-41E3-B5BE-D9B124B8D7E4}" name="PrintOnlyOnePerPage"/>
    <tableColumn id="4" xr3:uid="{21867904-D69E-41E3-B5BE-D9B124B8D7E4}" name="Customer_TABLECAPTION__________CustFilter"/>
    <tableColumn id="6" xr3:uid="{21867904-D69E-41E3-B5BE-D9B124B8D7E4}" name="Value_Entry__TABLECAPTION__________ItemLedgEntryFilter"/>
    <tableColumn id="8" xr3:uid="{21867904-D69E-41E3-B5BE-D9B124B8D7E4}" name="Customer__No__"/>
    <tableColumn id="9" xr3:uid="{21867904-D69E-41E3-B5BE-D9B124B8D7E4}" name="Customer_Name"/>
    <tableColumn id="10" xr3:uid="{21867904-D69E-41E3-B5BE-D9B124B8D7E4}" name="Customer__Phone_No__"/>
    <tableColumn id="11" xr3:uid="{21867904-D69E-41E3-B5BE-D9B124B8D7E4}" name="ValueEntryBuffer__Sales_Amount__Actual__"/>
    <tableColumn id="12" xr3:uid="{21867904-D69E-41E3-B5BE-D9B124B8D7E4}" name="ValueEntryBuffer__Discount_Amount_"/>
    <tableColumn id="13" xr3:uid="{21867904-D69E-41E3-B5BE-D9B124B8D7E4}" name="Profit"/>
    <tableColumn id="14" xr3:uid="{21867904-D69E-41E3-B5BE-D9B124B8D7E4}" name="ProfitPct"/>
    <tableColumn id="28" xr3:uid="{21867904-D69E-41E3-B5BE-D9B124B8D7E4}" name="ValueEntryBuffer__Item_No__"/>
    <tableColumn id="29" xr3:uid="{21867904-D69E-41E3-B5BE-D9B124B8D7E4}" name="Item_Description"/>
    <tableColumn id="30" xr3:uid="{21867904-D69E-41E3-B5BE-D9B124B8D7E4}" name="ValueEntryBuffer__Invoiced_Quantity_"/>
    <tableColumn id="31" xr3:uid="{21867904-D69E-41E3-B5BE-D9B124B8D7E4}" name="ValueEntryBuffer__Sales_Amount__Actual___Control44"/>
    <tableColumn id="32" xr3:uid="{21867904-D69E-41E3-B5BE-D9B124B8D7E4}" name="ValueEntryBuffer__Discount_Amount__Control45"/>
    <tableColumn id="33" xr3:uid="{21867904-D69E-41E3-B5BE-D9B124B8D7E4}" name="Profit_Control46"/>
    <tableColumn id="34" xr3:uid="{21867904-D69E-41E3-B5BE-D9B124B8D7E4}" name="ProfitPct_Control47"/>
    <tableColumn id="35" xr3:uid="{21867904-D69E-41E3-B5BE-D9B124B8D7E4}" name="Item__Base_Unit_of_Measure_"/>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87">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86">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85">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84">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F8CE1-F034-414C-AFDC-79C31EAB23E9}">
  <sheetPr>
    <pageSetUpPr fitToPage="1"/>
  </sheetPr>
  <dimension ref="A2:L13"/>
  <sheetViews>
    <sheetView showGridLines="0" tabSelected="1" workbookViewId="0"/>
  </sheetViews>
  <sheetFormatPr defaultColWidth="9" defaultRowHeight="20.25" x14ac:dyDescent="0.3"/>
  <cols>
    <col min="1" max="1" width="9.125" style="14" customWidth="1"/>
    <col min="2" max="2" width="14.25" style="13" customWidth="1"/>
    <col min="3" max="3" width="23.25" style="13" bestFit="1" customWidth="1"/>
    <col min="4" max="4" width="11.125" style="13" customWidth="1"/>
    <col min="5" max="5" width="34.875" style="13" customWidth="1"/>
    <col min="6" max="6" width="15.625" style="13" customWidth="1"/>
    <col min="7" max="7" width="14.625" style="13" customWidth="1"/>
    <col min="8" max="10" width="18.625" style="13" customWidth="1"/>
    <col min="11" max="11" width="21.625" style="13" customWidth="1"/>
    <col min="12" max="16384" width="9" style="13"/>
  </cols>
  <sheetData>
    <row r="2" spans="2:12" ht="27" thickBot="1" x14ac:dyDescent="0.35">
      <c r="B2" s="9" t="s">
        <v>91</v>
      </c>
      <c r="K2" s="10" t="str" cm="1">
        <f t="array" ref="K2">ReportRequest.CompanyName</f>
        <v>Company name Value</v>
      </c>
    </row>
    <row r="3" spans="2:12" ht="21" thickTop="1" x14ac:dyDescent="0.3"/>
    <row r="4" spans="2:12" x14ac:dyDescent="0.3">
      <c r="B4" s="5" t="e" cm="1">
        <f t="array" ref="B4">IF(DatePeriod="", "", Caption.Period)</f>
        <v>#N/A</v>
      </c>
      <c r="C4" s="15" t="e" cm="1">
        <f t="array" ref="C4">DatePeriod</f>
        <v>#N/A</v>
      </c>
      <c r="J4" s="11" t="e" cm="1">
        <f t="array" ref="J4">Caption.DataRetrieved</f>
        <v>#NAME?</v>
      </c>
      <c r="K4" s="12" t="str" cm="1">
        <f t="array" ref="K4">ReportRequest.DateLocal</f>
        <v>Date (Local) Value</v>
      </c>
    </row>
    <row r="5" spans="2:12" x14ac:dyDescent="0.3">
      <c r="B5" s="5"/>
      <c r="C5" s="15"/>
      <c r="J5" s="11"/>
      <c r="K5" s="12"/>
    </row>
    <row r="6" spans="2:12" x14ac:dyDescent="0.3">
      <c r="B6" s="5" t="s">
        <v>103</v>
      </c>
      <c r="C6" s="15"/>
      <c r="J6" s="11"/>
      <c r="K6" s="12"/>
    </row>
    <row r="7" spans="2:12" x14ac:dyDescent="0.3">
      <c r="B7" s="5" t="e" cm="1">
        <f t="array" ref="B7">CustFilterHeading</f>
        <v>#N/A</v>
      </c>
      <c r="C7" s="15"/>
      <c r="J7" s="11"/>
      <c r="K7" s="12"/>
    </row>
    <row r="8" spans="2:12" x14ac:dyDescent="0.3">
      <c r="B8" s="5" t="e" cm="1">
        <f t="array" ref="B8">ValueEntryFilterHeading</f>
        <v>#N/A</v>
      </c>
      <c r="C8" s="15"/>
      <c r="J8" s="11"/>
      <c r="K8" s="12"/>
    </row>
    <row r="10" spans="2:12" x14ac:dyDescent="0.3">
      <c r="B10" s="17" t="s">
        <v>93</v>
      </c>
      <c r="C10" s="17" t="s">
        <v>94</v>
      </c>
      <c r="D10" s="17" t="s">
        <v>101</v>
      </c>
      <c r="E10" s="17" t="s">
        <v>102</v>
      </c>
      <c r="F10" s="17" t="s">
        <v>95</v>
      </c>
      <c r="G10" s="18" t="s">
        <v>96</v>
      </c>
      <c r="H10" s="18" t="s">
        <v>97</v>
      </c>
      <c r="I10" s="18" t="s">
        <v>98</v>
      </c>
      <c r="J10" s="18" t="s">
        <v>99</v>
      </c>
      <c r="K10" s="18" t="s">
        <v>100</v>
      </c>
      <c r="L10"/>
    </row>
    <row r="11" spans="2:12" x14ac:dyDescent="0.3">
      <c r="B11" s="4"/>
      <c r="C11" s="4"/>
      <c r="D11" s="4"/>
      <c r="E11" s="4"/>
      <c r="F11" s="4"/>
      <c r="G11" s="21">
        <v>0</v>
      </c>
      <c r="H11" s="21">
        <v>0</v>
      </c>
      <c r="I11" s="21">
        <v>0</v>
      </c>
      <c r="J11" s="21">
        <v>0</v>
      </c>
      <c r="K11" s="16">
        <v>0</v>
      </c>
      <c r="L11"/>
    </row>
    <row r="12" spans="2:12" x14ac:dyDescent="0.3">
      <c r="B12" s="4"/>
      <c r="C12" s="19" t="s">
        <v>104</v>
      </c>
      <c r="D12" s="19"/>
      <c r="E12" s="19"/>
      <c r="F12" s="19"/>
      <c r="G12" s="22">
        <v>0</v>
      </c>
      <c r="H12" s="22">
        <v>0</v>
      </c>
      <c r="I12" s="22">
        <v>0</v>
      </c>
      <c r="J12" s="22">
        <v>0</v>
      </c>
      <c r="K12" s="20">
        <v>0</v>
      </c>
      <c r="L12"/>
    </row>
    <row r="13" spans="2:12" x14ac:dyDescent="0.3">
      <c r="B13" s="4" t="s">
        <v>92</v>
      </c>
      <c r="C13" s="4"/>
      <c r="D13" s="4"/>
      <c r="E13" s="4"/>
      <c r="F13" s="4"/>
      <c r="G13" s="21">
        <v>0</v>
      </c>
      <c r="H13" s="21">
        <v>0</v>
      </c>
      <c r="I13" s="21">
        <v>0</v>
      </c>
      <c r="J13" s="21">
        <v>0</v>
      </c>
      <c r="K13" s="16">
        <v>0</v>
      </c>
      <c r="L13"/>
    </row>
  </sheetData>
  <pageMargins left="0.25" right="0.25" top="0.75" bottom="0.75" header="0.3" footer="0.3"/>
  <pageSetup paperSize="9" scale="74"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A2AF8-7C63-473D-BAC7-59BCDB15AD93}">
  <dimension ref="A1:K4"/>
  <sheetViews>
    <sheetView showGridLines="0" workbookViewId="0"/>
  </sheetViews>
  <sheetFormatPr defaultColWidth="9" defaultRowHeight="20.25" x14ac:dyDescent="0.3"/>
  <cols>
    <col min="1" max="1" width="50.625" style="14" customWidth="1"/>
    <col min="2" max="2" width="14.25" style="13" customWidth="1"/>
    <col min="3" max="3" width="23.25" style="13" bestFit="1" customWidth="1"/>
    <col min="4" max="4" width="11.125" style="13" customWidth="1"/>
    <col min="5" max="5" width="34.875" style="13" customWidth="1"/>
    <col min="6" max="6" width="15.625" style="13" customWidth="1"/>
    <col min="7" max="7" width="14.625" style="13" customWidth="1"/>
    <col min="8" max="10" width="18.625" style="13" customWidth="1"/>
    <col min="11" max="11" width="21.625" style="13" customWidth="1"/>
    <col min="12" max="16384" width="9" style="13"/>
  </cols>
  <sheetData>
    <row r="1" spans="2:11" x14ac:dyDescent="0.3">
      <c r="B1" s="17" t="s">
        <v>93</v>
      </c>
      <c r="C1" s="17" t="s">
        <v>94</v>
      </c>
      <c r="D1" s="17" t="s">
        <v>101</v>
      </c>
      <c r="E1" s="17" t="s">
        <v>102</v>
      </c>
      <c r="F1" s="17" t="s">
        <v>95</v>
      </c>
      <c r="G1" s="18" t="s">
        <v>96</v>
      </c>
      <c r="H1" s="18" t="s">
        <v>97</v>
      </c>
      <c r="I1" s="18" t="s">
        <v>98</v>
      </c>
      <c r="J1" s="18" t="s">
        <v>99</v>
      </c>
      <c r="K1" s="18" t="s">
        <v>100</v>
      </c>
    </row>
    <row r="2" spans="2:11" x14ac:dyDescent="0.3">
      <c r="B2" s="4"/>
      <c r="C2" s="4"/>
      <c r="D2" s="4"/>
      <c r="E2" s="4"/>
      <c r="F2" s="4"/>
      <c r="G2" s="21">
        <v>0</v>
      </c>
      <c r="H2" s="21">
        <v>0</v>
      </c>
      <c r="I2" s="21">
        <v>0</v>
      </c>
      <c r="J2" s="21">
        <v>0</v>
      </c>
      <c r="K2" s="16">
        <v>0</v>
      </c>
    </row>
    <row r="3" spans="2:11" x14ac:dyDescent="0.3">
      <c r="B3" s="4"/>
      <c r="C3" s="19" t="s">
        <v>104</v>
      </c>
      <c r="D3" s="19"/>
      <c r="E3" s="19"/>
      <c r="F3" s="19"/>
      <c r="G3" s="22">
        <v>0</v>
      </c>
      <c r="H3" s="22">
        <v>0</v>
      </c>
      <c r="I3" s="22">
        <v>0</v>
      </c>
      <c r="J3" s="22">
        <v>0</v>
      </c>
      <c r="K3" s="20">
        <v>0</v>
      </c>
    </row>
    <row r="4" spans="2:11" x14ac:dyDescent="0.3">
      <c r="B4" s="4" t="s">
        <v>92</v>
      </c>
      <c r="C4" s="4"/>
      <c r="D4" s="4"/>
      <c r="E4" s="4"/>
      <c r="F4" s="4"/>
      <c r="G4" s="21">
        <v>0</v>
      </c>
      <c r="H4" s="21">
        <v>0</v>
      </c>
      <c r="I4" s="21">
        <v>0</v>
      </c>
      <c r="J4" s="21">
        <v>0</v>
      </c>
      <c r="K4" s="16">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9579-43F6-48BE-9110-9A585B35A454}">
  <dimension ref="A1:B8"/>
  <sheetViews>
    <sheetView showGridLines="0" workbookViewId="0"/>
  </sheetViews>
  <sheetFormatPr defaultColWidth="9" defaultRowHeight="20.100000000000001" customHeight="1" x14ac:dyDescent="0.3"/>
  <cols>
    <col min="1" max="1" width="17.375" style="13" customWidth="1"/>
    <col min="2" max="2" width="25.625" style="13" customWidth="1"/>
    <col min="3" max="16384" width="9" style="13"/>
  </cols>
  <sheetData>
    <row r="1" spans="1:2" ht="20.100000000000001" customHeight="1" x14ac:dyDescent="0.3">
      <c r="A1" s="3" t="s">
        <v>85</v>
      </c>
      <c r="B1" s="5" t="str" cm="1">
        <f t="array" ref="B1">ReportRequest.EnvironmentName</f>
        <v>Environment name Value</v>
      </c>
    </row>
    <row r="2" spans="1:2" ht="20.100000000000001" customHeight="1" x14ac:dyDescent="0.3">
      <c r="A2" s="3" t="s">
        <v>86</v>
      </c>
      <c r="B2" s="5" t="str" cm="1">
        <f t="array" ref="B2">ReportRequest.CompanyName</f>
        <v>Company name Value</v>
      </c>
    </row>
    <row r="3" spans="1:2" ht="20.100000000000001" customHeight="1" x14ac:dyDescent="0.3">
      <c r="A3" s="3" t="s">
        <v>87</v>
      </c>
      <c r="B3" s="5" t="str" cm="1">
        <f t="array" ref="B3">ReportRequest.UserName</f>
        <v>User name Value</v>
      </c>
    </row>
    <row r="4" spans="1:2" ht="20.100000000000001" customHeight="1" x14ac:dyDescent="0.3">
      <c r="A4" s="3" t="s">
        <v>88</v>
      </c>
      <c r="B4" s="6" t="str" cm="1">
        <f t="array" ref="B4">ReportRequest.DateLocal</f>
        <v>Date (Local) Value</v>
      </c>
    </row>
    <row r="5" spans="1:2" ht="20.100000000000001" customHeight="1" x14ac:dyDescent="0.3">
      <c r="A5" s="3"/>
      <c r="B5" s="7" t="str" cm="1">
        <f t="array" ref="B5">ReportRequest.DateLocal</f>
        <v>Date (Local) Value</v>
      </c>
    </row>
    <row r="6" spans="1:2" ht="20.100000000000001" customHeight="1" x14ac:dyDescent="0.3">
      <c r="A6" s="3" t="s">
        <v>89</v>
      </c>
      <c r="B6" s="5" t="str" cm="1">
        <f t="array" ref="B6">ReportMetadata.ObjectCaption</f>
        <v>Object Caption Value</v>
      </c>
    </row>
    <row r="7" spans="1:2" ht="20.100000000000001" customHeight="1" x14ac:dyDescent="0.3">
      <c r="A7" s="3" t="s">
        <v>90</v>
      </c>
      <c r="B7" s="8" t="str">
        <f>HYPERLINK(_xlfn.CONCAT("https://learn.microsoft.com/dynamics365/business-central/reports/report-",ReportMetadata.ObjectID))</f>
        <v>https://learn.microsoft.com/dynamics365/business-central/reports/report-Object ID Value</v>
      </c>
    </row>
    <row r="8" spans="1:2" ht="20.100000000000001" customHeight="1" x14ac:dyDescent="0.3">
      <c r="A8" s="3"/>
      <c r="B8"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8ECE-AE07-4B5D-A7B3-61D9D8783801}">
  <dimension ref="A1:J2"/>
  <sheetViews>
    <sheetView topLeftCell="D1" workbookViewId="0"/>
  </sheetViews>
  <sheetFormatPr defaultRowHeight="16.5" x14ac:dyDescent="0.3"/>
  <cols>
    <col min="1" max="1" width="17.375" bestFit="1" customWidth="1"/>
    <col min="2" max="2" width="17.75" bestFit="1" customWidth="1"/>
    <col min="3" max="3" width="29.25" bestFit="1" customWidth="1"/>
    <col min="4" max="4" width="18.125" bestFit="1" customWidth="1"/>
    <col min="5" max="5" width="37" bestFit="1" customWidth="1"/>
    <col min="6" max="6" width="29.5" bestFit="1" customWidth="1"/>
    <col min="7" max="7" width="41.625" bestFit="1" customWidth="1"/>
    <col min="8" max="8" width="37" bestFit="1" customWidth="1"/>
    <col min="9" max="9" width="8.125" bestFit="1" customWidth="1"/>
    <col min="10" max="10" width="10.875" bestFit="1" customWidth="1"/>
    <col min="11" max="11" width="41.625" bestFit="1" customWidth="1"/>
    <col min="12" max="12" width="37" bestFit="1" customWidth="1"/>
    <col min="13" max="13" width="8.125" bestFit="1" customWidth="1"/>
    <col min="14" max="14" width="10.875" bestFit="1" customWidth="1"/>
    <col min="15" max="15" width="28.875" bestFit="1" customWidth="1"/>
    <col min="16" max="16" width="28.625" bestFit="1" customWidth="1"/>
    <col min="17" max="17" width="31.125" bestFit="1" customWidth="1"/>
    <col min="18" max="18" width="36.25" bestFit="1" customWidth="1"/>
    <col min="19" max="19" width="25.125" bestFit="1" customWidth="1"/>
    <col min="20" max="20" width="43.875" bestFit="1" customWidth="1"/>
    <col min="21" max="21" width="36.5" bestFit="1" customWidth="1"/>
    <col min="22" max="22" width="58.375" bestFit="1" customWidth="1"/>
    <col min="23" max="23" width="53.75" bestFit="1" customWidth="1"/>
    <col min="24" max="24" width="24.75" bestFit="1" customWidth="1"/>
    <col min="25" max="25" width="27.625" bestFit="1" customWidth="1"/>
    <col min="26" max="26" width="30.75" bestFit="1" customWidth="1"/>
    <col min="27" max="27" width="14.375" bestFit="1" customWidth="1"/>
    <col min="28" max="28" width="29.25" bestFit="1" customWidth="1"/>
    <col min="29" max="29" width="18.125" bestFit="1" customWidth="1"/>
    <col min="30" max="30" width="37" bestFit="1" customWidth="1"/>
    <col min="31" max="31" width="51.375" bestFit="1" customWidth="1"/>
    <col min="32" max="32" width="46.75" bestFit="1" customWidth="1"/>
    <col min="33" max="33" width="17.75" bestFit="1" customWidth="1"/>
    <col min="34" max="34" width="20.625" bestFit="1" customWidth="1"/>
    <col min="35" max="35" width="29.5" bestFit="1" customWidth="1"/>
  </cols>
  <sheetData>
    <row r="1" spans="1:10" x14ac:dyDescent="0.3">
      <c r="A1" t="s">
        <v>68</v>
      </c>
      <c r="B1" t="s">
        <v>69</v>
      </c>
      <c r="C1" t="s">
        <v>75</v>
      </c>
      <c r="D1" t="s">
        <v>76</v>
      </c>
      <c r="E1" t="s">
        <v>77</v>
      </c>
      <c r="F1" t="s">
        <v>82</v>
      </c>
      <c r="G1" t="s">
        <v>71</v>
      </c>
      <c r="H1" t="s">
        <v>72</v>
      </c>
      <c r="I1" t="s">
        <v>73</v>
      </c>
      <c r="J1" t="s">
        <v>74</v>
      </c>
    </row>
    <row r="2" spans="1:10" x14ac:dyDescent="0.3">
      <c r="A2" t="s">
        <v>83</v>
      </c>
      <c r="B2" t="s">
        <v>83</v>
      </c>
      <c r="C2" t="s">
        <v>83</v>
      </c>
      <c r="D2" t="s">
        <v>83</v>
      </c>
      <c r="E2">
        <v>0</v>
      </c>
      <c r="F2" t="s">
        <v>83</v>
      </c>
      <c r="G2">
        <v>0</v>
      </c>
      <c r="H2">
        <v>0</v>
      </c>
      <c r="I2">
        <v>0</v>
      </c>
      <c r="J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
  <sheetViews>
    <sheetView workbookViewId="0">
      <pane ySplit="1" topLeftCell="A2" activePane="bottomLeft" state="frozen"/>
      <selection pane="bottomLeft"/>
    </sheetView>
  </sheetViews>
  <sheetFormatPr defaultRowHeight="16.5" x14ac:dyDescent="0.3"/>
  <cols>
    <col min="1" max="1" width="18.375" customWidth="1"/>
  </cols>
  <sheetData>
    <row r="1" spans="1:19" x14ac:dyDescent="0.3">
      <c r="A1" t="s">
        <v>64</v>
      </c>
      <c r="B1" t="s">
        <v>65</v>
      </c>
      <c r="C1" t="s">
        <v>66</v>
      </c>
      <c r="D1" t="s">
        <v>67</v>
      </c>
      <c r="E1" t="s">
        <v>68</v>
      </c>
      <c r="F1" t="s">
        <v>69</v>
      </c>
      <c r="G1" t="s">
        <v>70</v>
      </c>
      <c r="H1" t="s">
        <v>71</v>
      </c>
      <c r="I1" t="s">
        <v>72</v>
      </c>
      <c r="J1" t="s">
        <v>73</v>
      </c>
      <c r="K1" t="s">
        <v>74</v>
      </c>
      <c r="L1" t="s">
        <v>75</v>
      </c>
      <c r="M1" t="s">
        <v>76</v>
      </c>
      <c r="N1" t="s">
        <v>77</v>
      </c>
      <c r="O1" t="s">
        <v>78</v>
      </c>
      <c r="P1" t="s">
        <v>79</v>
      </c>
      <c r="Q1" t="s">
        <v>80</v>
      </c>
      <c r="R1" t="s">
        <v>81</v>
      </c>
      <c r="S1" t="s">
        <v>82</v>
      </c>
    </row>
    <row r="2" spans="1:19" x14ac:dyDescent="0.3">
      <c r="A2" t="s">
        <v>83</v>
      </c>
      <c r="B2" t="s">
        <v>84</v>
      </c>
      <c r="C2" t="s">
        <v>83</v>
      </c>
      <c r="D2" t="s">
        <v>83</v>
      </c>
      <c r="E2" t="s">
        <v>83</v>
      </c>
      <c r="F2" t="s">
        <v>83</v>
      </c>
      <c r="G2" t="s">
        <v>83</v>
      </c>
      <c r="H2" s="2">
        <v>0</v>
      </c>
      <c r="I2" s="2">
        <v>0</v>
      </c>
      <c r="J2" s="2">
        <v>0</v>
      </c>
      <c r="K2" s="2">
        <v>0</v>
      </c>
      <c r="L2" t="s">
        <v>83</v>
      </c>
      <c r="M2" t="s">
        <v>83</v>
      </c>
      <c r="N2" s="2">
        <v>0</v>
      </c>
      <c r="O2" s="2">
        <v>0</v>
      </c>
      <c r="P2" s="2">
        <v>0</v>
      </c>
      <c r="Q2" s="2">
        <v>0</v>
      </c>
      <c r="R2" s="2">
        <v>0</v>
      </c>
      <c r="S2" t="s">
        <v>83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5" x14ac:dyDescent="0.3"/>
  <cols>
    <col min="1" max="1" width="16.875" customWidth="1"/>
    <col min="2" max="2" width="11.375" customWidth="1"/>
  </cols>
  <sheetData>
    <row r="1" spans="1:3" x14ac:dyDescent="0.3">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
    </sheetView>
  </sheetViews>
  <sheetFormatPr defaultRowHeight="16.5" x14ac:dyDescent="0.3"/>
  <cols>
    <col min="1" max="1" width="10" customWidth="1"/>
    <col min="2" max="2" width="17.375" customWidth="1"/>
  </cols>
  <sheetData>
    <row r="1" spans="1:2" x14ac:dyDescent="0.3">
      <c r="A1" t="s">
        <v>3</v>
      </c>
      <c r="B1" t="s">
        <v>1</v>
      </c>
    </row>
    <row r="2" spans="1:2" x14ac:dyDescent="0.3">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heetViews>
  <sheetFormatPr defaultRowHeight="16.5" x14ac:dyDescent="0.3"/>
  <cols>
    <col min="1" max="1" width="25.625" customWidth="1"/>
    <col min="2" max="2" width="40.625" customWidth="1"/>
    <col min="3" max="3" width="5.625" customWidth="1"/>
    <col min="4" max="4" width="25.625" customWidth="1"/>
    <col min="5" max="5" width="40.625" customWidth="1"/>
    <col min="6" max="6" width="5.625" customWidth="1"/>
    <col min="7" max="7" width="25.625" customWidth="1"/>
    <col min="8" max="8" width="40.625" customWidth="1"/>
    <col min="9" max="9" width="5.625" customWidth="1"/>
    <col min="10" max="10" width="40.625" customWidth="1"/>
    <col min="11" max="11" width="25.625" customWidth="1"/>
  </cols>
  <sheetData>
    <row r="1" spans="1:11" x14ac:dyDescent="0.3">
      <c r="A1" s="1" t="s">
        <v>6</v>
      </c>
      <c r="B1" s="1" t="s">
        <v>7</v>
      </c>
      <c r="D1" s="1" t="s">
        <v>26</v>
      </c>
      <c r="E1" s="1" t="s">
        <v>27</v>
      </c>
      <c r="G1" s="1" t="s">
        <v>4</v>
      </c>
      <c r="H1" s="1" t="s">
        <v>5</v>
      </c>
      <c r="J1" s="1" t="s">
        <v>45</v>
      </c>
      <c r="K1" s="1" t="s">
        <v>46</v>
      </c>
    </row>
    <row r="2" spans="1:11" x14ac:dyDescent="0.3">
      <c r="A2" t="s">
        <v>8</v>
      </c>
      <c r="B2" t="s">
        <v>9</v>
      </c>
      <c r="D2" t="s">
        <v>48</v>
      </c>
      <c r="E2" t="s">
        <v>49</v>
      </c>
      <c r="G2" t="s">
        <v>4</v>
      </c>
      <c r="H2" t="s">
        <v>5</v>
      </c>
      <c r="J2" t="s">
        <v>45</v>
      </c>
      <c r="K2" t="s">
        <v>46</v>
      </c>
    </row>
    <row r="3" spans="1:11" x14ac:dyDescent="0.3">
      <c r="A3" t="s">
        <v>10</v>
      </c>
      <c r="B3" t="s">
        <v>11</v>
      </c>
      <c r="D3" t="s">
        <v>28</v>
      </c>
      <c r="E3" t="s">
        <v>29</v>
      </c>
    </row>
    <row r="4" spans="1:11" x14ac:dyDescent="0.3">
      <c r="A4" t="s">
        <v>12</v>
      </c>
      <c r="B4" t="s">
        <v>13</v>
      </c>
      <c r="D4" t="s">
        <v>30</v>
      </c>
      <c r="E4" t="s">
        <v>31</v>
      </c>
    </row>
    <row r="5" spans="1:11" x14ac:dyDescent="0.3">
      <c r="A5" t="s">
        <v>14</v>
      </c>
      <c r="B5" t="s">
        <v>15</v>
      </c>
      <c r="D5" t="s">
        <v>32</v>
      </c>
      <c r="E5" t="s">
        <v>33</v>
      </c>
    </row>
    <row r="6" spans="1:11" x14ac:dyDescent="0.3">
      <c r="A6" t="s">
        <v>16</v>
      </c>
      <c r="B6" t="s">
        <v>17</v>
      </c>
      <c r="D6" t="s">
        <v>34</v>
      </c>
      <c r="E6" t="s">
        <v>35</v>
      </c>
    </row>
    <row r="7" spans="1:11" x14ac:dyDescent="0.3">
      <c r="A7" t="s">
        <v>18</v>
      </c>
      <c r="B7" t="s">
        <v>19</v>
      </c>
      <c r="D7" t="s">
        <v>50</v>
      </c>
      <c r="E7" t="s">
        <v>51</v>
      </c>
    </row>
    <row r="8" spans="1:11" x14ac:dyDescent="0.3">
      <c r="A8" t="s">
        <v>58</v>
      </c>
      <c r="B8" t="s">
        <v>59</v>
      </c>
      <c r="D8" t="s">
        <v>36</v>
      </c>
      <c r="E8" t="s">
        <v>37</v>
      </c>
    </row>
    <row r="9" spans="1:11" x14ac:dyDescent="0.3">
      <c r="A9" t="s">
        <v>20</v>
      </c>
      <c r="B9" t="s">
        <v>21</v>
      </c>
      <c r="D9" t="s">
        <v>38</v>
      </c>
      <c r="E9" t="s">
        <v>39</v>
      </c>
    </row>
    <row r="10" spans="1:11" x14ac:dyDescent="0.3">
      <c r="A10" t="s">
        <v>22</v>
      </c>
      <c r="B10" t="s">
        <v>23</v>
      </c>
      <c r="D10" t="s">
        <v>40</v>
      </c>
      <c r="E10" t="s">
        <v>41</v>
      </c>
    </row>
    <row r="11" spans="1:11" x14ac:dyDescent="0.3">
      <c r="A11" t="s">
        <v>24</v>
      </c>
      <c r="B11" t="s">
        <v>25</v>
      </c>
      <c r="D11" t="s">
        <v>60</v>
      </c>
      <c r="E11" t="s">
        <v>61</v>
      </c>
    </row>
    <row r="12" spans="1:11" x14ac:dyDescent="0.3">
      <c r="D12" t="s">
        <v>62</v>
      </c>
      <c r="E12" t="s">
        <v>63</v>
      </c>
    </row>
    <row r="13" spans="1:11" x14ac:dyDescent="0.3">
      <c r="D13" t="s">
        <v>0</v>
      </c>
      <c r="E13" t="s">
        <v>42</v>
      </c>
    </row>
    <row r="14" spans="1:11" x14ac:dyDescent="0.3">
      <c r="D14" t="s">
        <v>43</v>
      </c>
      <c r="E14" t="s">
        <v>44</v>
      </c>
    </row>
    <row r="15" spans="1:11" x14ac:dyDescent="0.3">
      <c r="D15" t="s">
        <v>52</v>
      </c>
      <c r="E15" t="s">
        <v>53</v>
      </c>
    </row>
    <row r="16" spans="1:11" x14ac:dyDescent="0.3">
      <c r="D16" t="s">
        <v>54</v>
      </c>
      <c r="E16" t="s">
        <v>55</v>
      </c>
    </row>
    <row r="17" spans="4:5" x14ac:dyDescent="0.3">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D64F10-0F75-4D95-AC32-E9FAC5D79B58}">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$CustomerItemSalesPrint$</vt:lpstr>
      <vt:lpstr>$CustomerItemSalesAnalysis$</vt:lpstr>
      <vt:lpstr>$AboutTheReportLabel$</vt:lpstr>
      <vt:lpstr>CustomerItemSales_Query</vt:lpstr>
      <vt:lpstr>Customer</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Predrag Maricic</cp:lastModifiedBy>
  <cp:lastPrinted>2025-07-02T23:43:56Z</cp:lastPrinted>
  <dcterms:modified xsi:type="dcterms:W3CDTF">2026-04-24T17:00:05Z</dcterms:modified>
</cp:coreProperties>
</file>